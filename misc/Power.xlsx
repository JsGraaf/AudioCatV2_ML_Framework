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joris\Thesis\misc\"/>
    </mc:Choice>
  </mc:AlternateContent>
  <xr:revisionPtr revIDLastSave="0" documentId="13_ncr:1_{00FD18C8-7A9C-4C3B-84C9-9DB42D1743AF}" xr6:coauthVersionLast="47" xr6:coauthVersionMax="47" xr10:uidLastSave="{00000000-0000-0000-0000-000000000000}"/>
  <bookViews>
    <workbookView xWindow="6876" yWindow="25812" windowWidth="30936" windowHeight="18696" xr2:uid="{87C1C18D-1067-4963-A37D-71A0A7A7DA48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F2" i="1"/>
  <c r="J14" i="1"/>
  <c r="K14" i="1" s="1"/>
  <c r="J13" i="1"/>
  <c r="K13" i="1" s="1"/>
  <c r="J12" i="1"/>
  <c r="K12" i="1" s="1"/>
  <c r="J11" i="1"/>
  <c r="K11" i="1" s="1"/>
  <c r="J10" i="1"/>
  <c r="K10" i="1" s="1"/>
  <c r="J9" i="1"/>
  <c r="K9" i="1" s="1"/>
  <c r="J7" i="1"/>
  <c r="K7" i="1" s="1"/>
  <c r="J6" i="1"/>
  <c r="K6" i="1" s="1"/>
  <c r="J8" i="1"/>
  <c r="K8" i="1" s="1"/>
  <c r="J5" i="1"/>
  <c r="K5" i="1" s="1"/>
  <c r="J4" i="1"/>
  <c r="K4" i="1" s="1"/>
  <c r="J3" i="1"/>
  <c r="K3" i="1" s="1"/>
  <c r="H14" i="1"/>
  <c r="H13" i="1"/>
  <c r="H12" i="1"/>
  <c r="H11" i="1"/>
  <c r="H10" i="1"/>
  <c r="H9" i="1"/>
  <c r="H7" i="1"/>
  <c r="H6" i="1"/>
  <c r="H8" i="1"/>
  <c r="H5" i="1"/>
  <c r="H4" i="1"/>
  <c r="H3" i="1"/>
  <c r="D14" i="1"/>
  <c r="D13" i="1"/>
  <c r="D12" i="1"/>
  <c r="D11" i="1"/>
  <c r="D10" i="1"/>
  <c r="D9" i="1"/>
  <c r="D7" i="1"/>
  <c r="D6" i="1"/>
  <c r="D8" i="1"/>
  <c r="D5" i="1"/>
  <c r="D4" i="1"/>
  <c r="F14" i="1"/>
  <c r="F13" i="1"/>
  <c r="F12" i="1"/>
  <c r="F11" i="1"/>
  <c r="F10" i="1"/>
  <c r="F9" i="1"/>
  <c r="F7" i="1"/>
  <c r="F6" i="1"/>
  <c r="F8" i="1"/>
  <c r="F5" i="1"/>
  <c r="F4" i="1"/>
  <c r="F3" i="1"/>
  <c r="H2" i="1"/>
  <c r="J2" i="1"/>
  <c r="K2" i="1" s="1"/>
  <c r="D2" i="1"/>
</calcChain>
</file>

<file path=xl/sharedStrings.xml><?xml version="1.0" encoding="utf-8"?>
<sst xmlns="http://schemas.openxmlformats.org/spreadsheetml/2006/main" count="36" uniqueCount="23">
  <si>
    <t>Power (mW)</t>
  </si>
  <si>
    <t>Voltage</t>
  </si>
  <si>
    <t>Shutdown w BLE</t>
  </si>
  <si>
    <t>Recording + SD Card</t>
  </si>
  <si>
    <t>Recording + Specs</t>
  </si>
  <si>
    <t>Sleep</t>
  </si>
  <si>
    <t>Recording + Specs + ML</t>
  </si>
  <si>
    <t>Recording + Specs + ML + SD</t>
  </si>
  <si>
    <t>Min(mW)</t>
  </si>
  <si>
    <t>Max(mW)</t>
  </si>
  <si>
    <t>Recording + PSRAM</t>
  </si>
  <si>
    <t>Recording Stop1</t>
  </si>
  <si>
    <t>Recording Sleep</t>
  </si>
  <si>
    <t>Recording Stop2</t>
  </si>
  <si>
    <t>Shutdown</t>
  </si>
  <si>
    <t>Battery (mA)</t>
  </si>
  <si>
    <t>Avg Current (uA)</t>
  </si>
  <si>
    <t>Life(d)</t>
  </si>
  <si>
    <t>Life (m)</t>
  </si>
  <si>
    <t>Current(uA)</t>
  </si>
  <si>
    <t>x</t>
  </si>
  <si>
    <t>Stop2 w BLE</t>
  </si>
  <si>
    <t>Stop1 w 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</si>
</sst>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5409E-2708-4330-A1FB-A35F99135B7E}">
  <dimension ref="A1:L14"/>
  <sheetViews>
    <sheetView tabSelected="1" workbookViewId="0">
      <selection activeCell="G16" sqref="G16"/>
    </sheetView>
  </sheetViews>
  <sheetFormatPr defaultRowHeight="14.4" x14ac:dyDescent="0.3"/>
  <cols>
    <col min="1" max="1" width="23.88671875" bestFit="1" customWidth="1"/>
    <col min="2" max="2" width="7" bestFit="1" customWidth="1"/>
    <col min="3" max="3" width="10.88671875" bestFit="1" customWidth="1"/>
    <col min="4" max="4" width="8.21875" bestFit="1" customWidth="1"/>
    <col min="5" max="5" width="14.44140625" customWidth="1"/>
    <col min="6" max="6" width="10.77734375" customWidth="1"/>
    <col min="7" max="7" width="10.88671875" bestFit="1" customWidth="1"/>
    <col min="8" max="8" width="8.5546875" bestFit="1" customWidth="1"/>
    <col min="9" max="9" width="10.77734375" bestFit="1" customWidth="1"/>
    <col min="10" max="10" width="16.109375" bestFit="1" customWidth="1"/>
  </cols>
  <sheetData>
    <row r="1" spans="1:12" x14ac:dyDescent="0.3">
      <c r="B1" t="s">
        <v>1</v>
      </c>
      <c r="C1" t="s">
        <v>19</v>
      </c>
      <c r="D1" t="s">
        <v>8</v>
      </c>
      <c r="E1" t="s">
        <v>16</v>
      </c>
      <c r="F1" t="s">
        <v>0</v>
      </c>
      <c r="G1" t="s">
        <v>19</v>
      </c>
      <c r="H1" t="s">
        <v>9</v>
      </c>
      <c r="I1" t="s">
        <v>15</v>
      </c>
      <c r="J1" t="s">
        <v>17</v>
      </c>
      <c r="K1" t="s">
        <v>18</v>
      </c>
    </row>
    <row r="2" spans="1:12" x14ac:dyDescent="0.3">
      <c r="A2" t="s">
        <v>14</v>
      </c>
      <c r="B2">
        <v>3.6</v>
      </c>
      <c r="C2">
        <v>22.9</v>
      </c>
      <c r="D2">
        <f t="shared" ref="D2:D14" si="0">ROUND($B2*($C2 * 10^-3), 2)</f>
        <v>0.08</v>
      </c>
      <c r="E2">
        <v>71.099999999999994</v>
      </c>
      <c r="F2">
        <f t="shared" ref="F2:F14" si="1">ROUND(B2*(E2 * 10^-3), 2)</f>
        <v>0.26</v>
      </c>
      <c r="G2">
        <v>71.2</v>
      </c>
      <c r="H2">
        <f t="shared" ref="H2:H14" si="2">ROUND($B2*($G2 * 10^-3), 2)</f>
        <v>0.26</v>
      </c>
      <c r="I2">
        <v>2500</v>
      </c>
      <c r="J2">
        <f t="shared" ref="J2:J14" si="3">I2*10^3 / E2 / 24</f>
        <v>1465.0726676043132</v>
      </c>
      <c r="K2">
        <f>J2/30</f>
        <v>48.835755586810443</v>
      </c>
      <c r="L2" t="s">
        <v>20</v>
      </c>
    </row>
    <row r="3" spans="1:12" x14ac:dyDescent="0.3">
      <c r="A3" t="s">
        <v>2</v>
      </c>
      <c r="B3">
        <v>3.6</v>
      </c>
      <c r="C3">
        <v>23</v>
      </c>
      <c r="D3">
        <f t="shared" si="0"/>
        <v>0.08</v>
      </c>
      <c r="E3">
        <v>102</v>
      </c>
      <c r="F3">
        <f t="shared" si="1"/>
        <v>0.37</v>
      </c>
      <c r="G3">
        <v>20580</v>
      </c>
      <c r="H3">
        <f t="shared" si="2"/>
        <v>74.09</v>
      </c>
      <c r="I3">
        <v>2500</v>
      </c>
      <c r="J3">
        <f t="shared" si="3"/>
        <v>1021.2418300653594</v>
      </c>
      <c r="K3">
        <f t="shared" ref="K3:K14" si="4">J3/30</f>
        <v>34.041394335511981</v>
      </c>
      <c r="L3" t="s">
        <v>20</v>
      </c>
    </row>
    <row r="4" spans="1:12" x14ac:dyDescent="0.3">
      <c r="A4" t="s">
        <v>21</v>
      </c>
      <c r="B4">
        <v>3.6</v>
      </c>
      <c r="C4">
        <v>364</v>
      </c>
      <c r="D4">
        <f t="shared" si="0"/>
        <v>1.31</v>
      </c>
      <c r="E4">
        <v>546</v>
      </c>
      <c r="F4">
        <f t="shared" si="1"/>
        <v>1.97</v>
      </c>
      <c r="G4">
        <v>19120</v>
      </c>
      <c r="H4">
        <f t="shared" si="2"/>
        <v>68.83</v>
      </c>
      <c r="I4">
        <v>2500</v>
      </c>
      <c r="J4">
        <f t="shared" si="3"/>
        <v>190.78144078144078</v>
      </c>
      <c r="K4">
        <f t="shared" si="4"/>
        <v>6.3593813593813593</v>
      </c>
      <c r="L4" t="s">
        <v>20</v>
      </c>
    </row>
    <row r="5" spans="1:12" x14ac:dyDescent="0.3">
      <c r="A5" t="s">
        <v>22</v>
      </c>
      <c r="B5">
        <v>3.6</v>
      </c>
      <c r="C5">
        <v>546</v>
      </c>
      <c r="D5">
        <f t="shared" si="0"/>
        <v>1.97</v>
      </c>
      <c r="E5">
        <v>667.9</v>
      </c>
      <c r="F5">
        <f t="shared" si="1"/>
        <v>2.4</v>
      </c>
      <c r="G5">
        <v>19430</v>
      </c>
      <c r="H5">
        <f t="shared" si="2"/>
        <v>69.95</v>
      </c>
      <c r="I5">
        <v>2500</v>
      </c>
      <c r="J5">
        <f t="shared" si="3"/>
        <v>155.96147127813546</v>
      </c>
      <c r="K5">
        <f t="shared" si="4"/>
        <v>5.1987157092711822</v>
      </c>
      <c r="L5" t="s">
        <v>20</v>
      </c>
    </row>
    <row r="6" spans="1:12" x14ac:dyDescent="0.3">
      <c r="A6" t="s">
        <v>13</v>
      </c>
      <c r="B6">
        <v>3.6</v>
      </c>
      <c r="C6">
        <v>618.20000000000005</v>
      </c>
      <c r="D6">
        <f t="shared" si="0"/>
        <v>2.23</v>
      </c>
      <c r="E6">
        <v>847.4</v>
      </c>
      <c r="F6">
        <f t="shared" si="1"/>
        <v>3.05</v>
      </c>
      <c r="G6">
        <v>19150</v>
      </c>
      <c r="H6">
        <f t="shared" si="2"/>
        <v>68.94</v>
      </c>
      <c r="I6">
        <v>2500</v>
      </c>
      <c r="J6">
        <f t="shared" si="3"/>
        <v>122.92502556840532</v>
      </c>
      <c r="K6">
        <f t="shared" si="4"/>
        <v>4.0975008522801772</v>
      </c>
      <c r="L6" t="s">
        <v>20</v>
      </c>
    </row>
    <row r="7" spans="1:12" x14ac:dyDescent="0.3">
      <c r="A7" t="s">
        <v>11</v>
      </c>
      <c r="B7">
        <v>3.6</v>
      </c>
      <c r="C7">
        <v>783.2</v>
      </c>
      <c r="D7">
        <f t="shared" si="0"/>
        <v>2.82</v>
      </c>
      <c r="E7">
        <v>940.5</v>
      </c>
      <c r="F7">
        <f t="shared" si="1"/>
        <v>3.39</v>
      </c>
      <c r="G7">
        <v>19320</v>
      </c>
      <c r="H7">
        <f t="shared" si="2"/>
        <v>69.55</v>
      </c>
      <c r="I7">
        <v>2500</v>
      </c>
      <c r="J7">
        <f t="shared" si="3"/>
        <v>110.75668970405813</v>
      </c>
      <c r="K7">
        <f t="shared" si="4"/>
        <v>3.6918896568019379</v>
      </c>
      <c r="L7" t="s">
        <v>20</v>
      </c>
    </row>
    <row r="8" spans="1:12" x14ac:dyDescent="0.3">
      <c r="A8" t="s">
        <v>5</v>
      </c>
      <c r="B8">
        <v>3.6</v>
      </c>
      <c r="C8">
        <v>8771.9</v>
      </c>
      <c r="D8">
        <f t="shared" si="0"/>
        <v>31.58</v>
      </c>
      <c r="E8">
        <v>8771.4</v>
      </c>
      <c r="F8">
        <f t="shared" si="1"/>
        <v>31.58</v>
      </c>
      <c r="G8">
        <v>15930</v>
      </c>
      <c r="H8">
        <f t="shared" si="2"/>
        <v>57.35</v>
      </c>
      <c r="I8">
        <v>2500</v>
      </c>
      <c r="J8">
        <f t="shared" si="3"/>
        <v>11.875717293324518</v>
      </c>
      <c r="K8">
        <f>J8/30</f>
        <v>0.39585724311081727</v>
      </c>
      <c r="L8" t="s">
        <v>20</v>
      </c>
    </row>
    <row r="9" spans="1:12" x14ac:dyDescent="0.3">
      <c r="A9" t="s">
        <v>12</v>
      </c>
      <c r="B9">
        <v>3.6</v>
      </c>
      <c r="C9">
        <v>9134</v>
      </c>
      <c r="D9">
        <f t="shared" si="0"/>
        <v>32.880000000000003</v>
      </c>
      <c r="E9">
        <v>9310.6</v>
      </c>
      <c r="F9">
        <f t="shared" si="1"/>
        <v>33.520000000000003</v>
      </c>
      <c r="G9">
        <v>20340</v>
      </c>
      <c r="H9">
        <f t="shared" si="2"/>
        <v>73.22</v>
      </c>
      <c r="I9">
        <v>2500</v>
      </c>
      <c r="J9">
        <f t="shared" si="3"/>
        <v>11.187964971824229</v>
      </c>
      <c r="K9">
        <f t="shared" si="4"/>
        <v>0.37293216572747429</v>
      </c>
      <c r="L9" t="s">
        <v>20</v>
      </c>
    </row>
    <row r="10" spans="1:12" x14ac:dyDescent="0.3">
      <c r="A10" t="s">
        <v>10</v>
      </c>
      <c r="B10">
        <v>3.6</v>
      </c>
      <c r="C10">
        <v>11030</v>
      </c>
      <c r="D10">
        <f t="shared" si="0"/>
        <v>39.71</v>
      </c>
      <c r="E10">
        <v>11394.7</v>
      </c>
      <c r="F10">
        <f t="shared" si="1"/>
        <v>41.02</v>
      </c>
      <c r="G10">
        <v>26270</v>
      </c>
      <c r="H10">
        <f t="shared" si="2"/>
        <v>94.57</v>
      </c>
      <c r="I10">
        <v>2500</v>
      </c>
      <c r="J10">
        <f t="shared" si="3"/>
        <v>9.1416769784782979</v>
      </c>
      <c r="K10">
        <f t="shared" si="4"/>
        <v>0.3047225659492766</v>
      </c>
      <c r="L10" t="s">
        <v>20</v>
      </c>
    </row>
    <row r="11" spans="1:12" x14ac:dyDescent="0.3">
      <c r="A11" t="s">
        <v>3</v>
      </c>
      <c r="B11">
        <v>3.6</v>
      </c>
      <c r="C11">
        <v>12870</v>
      </c>
      <c r="D11">
        <f t="shared" si="0"/>
        <v>46.33</v>
      </c>
      <c r="E11">
        <v>14448.4</v>
      </c>
      <c r="F11">
        <f t="shared" si="1"/>
        <v>52.01</v>
      </c>
      <c r="G11">
        <v>93130</v>
      </c>
      <c r="H11">
        <f t="shared" si="2"/>
        <v>335.27</v>
      </c>
      <c r="I11">
        <v>2500</v>
      </c>
      <c r="J11">
        <f t="shared" si="3"/>
        <v>7.2095641501250434</v>
      </c>
      <c r="K11">
        <f t="shared" si="4"/>
        <v>0.24031880500416811</v>
      </c>
      <c r="L11" t="s">
        <v>20</v>
      </c>
    </row>
    <row r="12" spans="1:12" x14ac:dyDescent="0.3">
      <c r="A12" t="s">
        <v>4</v>
      </c>
      <c r="B12">
        <v>3.6</v>
      </c>
      <c r="C12">
        <v>11050</v>
      </c>
      <c r="D12">
        <f t="shared" si="0"/>
        <v>39.78</v>
      </c>
      <c r="E12">
        <v>12042.8</v>
      </c>
      <c r="F12">
        <f t="shared" si="1"/>
        <v>43.35</v>
      </c>
      <c r="G12">
        <v>25460</v>
      </c>
      <c r="H12">
        <f t="shared" si="2"/>
        <v>91.66</v>
      </c>
      <c r="I12">
        <v>2500</v>
      </c>
      <c r="J12">
        <f t="shared" si="3"/>
        <v>8.6497049412650444</v>
      </c>
      <c r="K12">
        <f t="shared" si="4"/>
        <v>0.28832349804216817</v>
      </c>
      <c r="L12" t="s">
        <v>20</v>
      </c>
    </row>
    <row r="13" spans="1:12" x14ac:dyDescent="0.3">
      <c r="A13" t="s">
        <v>6</v>
      </c>
      <c r="B13">
        <v>3.6</v>
      </c>
      <c r="C13">
        <v>11030</v>
      </c>
      <c r="D13">
        <f t="shared" si="0"/>
        <v>39.71</v>
      </c>
      <c r="E13">
        <v>13442.1</v>
      </c>
      <c r="F13">
        <f t="shared" si="1"/>
        <v>48.39</v>
      </c>
      <c r="G13">
        <v>28880</v>
      </c>
      <c r="H13">
        <f t="shared" si="2"/>
        <v>103.97</v>
      </c>
      <c r="I13">
        <v>2500</v>
      </c>
      <c r="J13">
        <f t="shared" si="3"/>
        <v>7.7492852059326047</v>
      </c>
      <c r="K13">
        <f t="shared" si="4"/>
        <v>0.25830950686442017</v>
      </c>
      <c r="L13" t="s">
        <v>20</v>
      </c>
    </row>
    <row r="14" spans="1:12" x14ac:dyDescent="0.3">
      <c r="A14" t="s">
        <v>7</v>
      </c>
      <c r="B14">
        <v>3.6</v>
      </c>
      <c r="C14">
        <v>12880</v>
      </c>
      <c r="D14">
        <f t="shared" si="0"/>
        <v>46.37</v>
      </c>
      <c r="E14">
        <v>15446.4</v>
      </c>
      <c r="F14">
        <f t="shared" si="1"/>
        <v>55.61</v>
      </c>
      <c r="G14">
        <v>83220</v>
      </c>
      <c r="H14">
        <f t="shared" si="2"/>
        <v>299.58999999999997</v>
      </c>
      <c r="I14">
        <v>2500</v>
      </c>
      <c r="J14">
        <f t="shared" si="3"/>
        <v>6.7437504316000281</v>
      </c>
      <c r="K14">
        <f t="shared" si="4"/>
        <v>0.22479168105333427</v>
      </c>
      <c r="L14" t="s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Joris Gravesteijn</dc:creator>
  <cp:lastModifiedBy>Joris Gravesteijn</cp:lastModifiedBy>
  <dcterms:created xsi:type="dcterms:W3CDTF">2025-10-20T10:32:37Z</dcterms:created>
  <dcterms:modified xsi:type="dcterms:W3CDTF">2025-10-28T08:47:09Z</dcterms:modified>
</cp:coreProperties>
</file>